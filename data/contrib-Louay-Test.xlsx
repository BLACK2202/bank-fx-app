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itn.sharepoint.com/sites/UBCIShare3/Documents partages/SDM/COMMUN/Archives/REUTER/"/>
    </mc:Choice>
  </mc:AlternateContent>
  <xr:revisionPtr revIDLastSave="0" documentId="8_{59EF5C28-EC11-42AA-9EA8-FD4435BA76CA}" xr6:coauthVersionLast="36" xr6:coauthVersionMax="36" xr10:uidLastSave="{00000000-0000-0000-0000-000000000000}"/>
  <bookViews>
    <workbookView xWindow="0" yWindow="0" windowWidth="28770" windowHeight="11220" xr2:uid="{B23CC28E-985E-400E-9C5C-33314FC65C7C}"/>
  </bookViews>
  <sheets>
    <sheet name="Contrib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R6" i="1"/>
  <c r="R7" i="1" s="1"/>
  <c r="J2" i="1"/>
  <c r="AB3" i="1"/>
  <c r="W8" i="1"/>
  <c r="AA5" i="1"/>
  <c r="J3" i="1" l="1"/>
  <c r="X3" i="1" s="1"/>
  <c r="AC3" i="1" s="1"/>
  <c r="AC5" i="1" s="1"/>
  <c r="AC6" i="1" s="1"/>
  <c r="X5" i="1" s="1"/>
  <c r="I12" i="1"/>
  <c r="I7" i="1"/>
  <c r="I22" i="1"/>
  <c r="I16" i="1"/>
  <c r="I19" i="1"/>
  <c r="I13" i="1"/>
  <c r="H7" i="1"/>
  <c r="I20" i="1"/>
  <c r="I15" i="1"/>
  <c r="I9" i="1"/>
  <c r="I23" i="1"/>
  <c r="I17" i="1"/>
  <c r="I18" i="1"/>
  <c r="I21" i="1"/>
  <c r="I14" i="1"/>
  <c r="I10" i="1"/>
  <c r="I24" i="1"/>
  <c r="I25" i="1"/>
  <c r="I11" i="1"/>
  <c r="AB4" i="1"/>
  <c r="X4" i="1"/>
  <c r="N10" i="1" l="1"/>
  <c r="N12" i="1"/>
  <c r="N11" i="1"/>
  <c r="N24" i="1"/>
  <c r="N21" i="1"/>
  <c r="N20" i="1"/>
  <c r="N13" i="1"/>
  <c r="N19" i="1"/>
  <c r="I8" i="1"/>
  <c r="J7" i="1"/>
  <c r="N7" i="1"/>
  <c r="N25" i="1"/>
  <c r="N14" i="1"/>
  <c r="N18" i="1"/>
  <c r="N17" i="1"/>
  <c r="N23" i="1"/>
  <c r="N9" i="1"/>
  <c r="N15" i="1"/>
  <c r="H19" i="1"/>
  <c r="M19" i="1" s="1"/>
  <c r="M7" i="1"/>
  <c r="H20" i="1"/>
  <c r="M20" i="1" s="1"/>
  <c r="H13" i="1"/>
  <c r="M13" i="1" s="1"/>
  <c r="H14" i="1"/>
  <c r="M14" i="1" s="1"/>
  <c r="H21" i="1"/>
  <c r="M21" i="1" s="1"/>
  <c r="H22" i="1"/>
  <c r="M22" i="1" s="1"/>
  <c r="H23" i="1"/>
  <c r="M23" i="1" s="1"/>
  <c r="H10" i="1"/>
  <c r="M10" i="1" s="1"/>
  <c r="H17" i="1"/>
  <c r="M17" i="1" s="1"/>
  <c r="H24" i="1"/>
  <c r="M24" i="1" s="1"/>
  <c r="H11" i="1"/>
  <c r="M11" i="1" s="1"/>
  <c r="H18" i="1"/>
  <c r="M18" i="1" s="1"/>
  <c r="H15" i="1"/>
  <c r="M15" i="1" s="1"/>
  <c r="H16" i="1"/>
  <c r="M16" i="1" s="1"/>
  <c r="H25" i="1"/>
  <c r="M25" i="1" s="1"/>
  <c r="H12" i="1"/>
  <c r="M12" i="1" s="1"/>
  <c r="H9" i="1"/>
  <c r="M9" i="1" s="1"/>
  <c r="N16" i="1"/>
  <c r="N22" i="1"/>
  <c r="AC4" i="1"/>
  <c r="AB5" i="1"/>
  <c r="J25" i="1" l="1"/>
  <c r="J19" i="1"/>
  <c r="J24" i="1"/>
  <c r="J16" i="1"/>
  <c r="J15" i="1"/>
  <c r="J11" i="1"/>
  <c r="J17" i="1"/>
  <c r="J10" i="1"/>
  <c r="N8" i="1"/>
  <c r="H8" i="1"/>
  <c r="M8" i="1" s="1"/>
  <c r="J13" i="1"/>
  <c r="J20" i="1"/>
  <c r="J9" i="1"/>
  <c r="J23" i="1"/>
  <c r="J18" i="1"/>
  <c r="J12" i="1"/>
  <c r="J22" i="1"/>
  <c r="J21" i="1"/>
  <c r="J14" i="1"/>
  <c r="J8" i="1" l="1"/>
</calcChain>
</file>

<file path=xl/sharedStrings.xml><?xml version="1.0" encoding="utf-8"?>
<sst xmlns="http://schemas.openxmlformats.org/spreadsheetml/2006/main" count="57" uniqueCount="48">
  <si>
    <t>International Market</t>
  </si>
  <si>
    <t>EUR/USD</t>
  </si>
  <si>
    <t>GBP/USD</t>
  </si>
  <si>
    <t>CHF/USD</t>
  </si>
  <si>
    <t>CAD/USD</t>
  </si>
  <si>
    <t>SEK/USD</t>
  </si>
  <si>
    <t>DKK/USD</t>
  </si>
  <si>
    <t>NOK/USD</t>
  </si>
  <si>
    <t>JPY/USD</t>
  </si>
  <si>
    <t>MAD/USD</t>
  </si>
  <si>
    <t>DZD/USD</t>
  </si>
  <si>
    <t>AED/USD</t>
  </si>
  <si>
    <t>KWD/USD</t>
  </si>
  <si>
    <t>LYD/USD</t>
  </si>
  <si>
    <t>MRU/USD</t>
  </si>
  <si>
    <t>SAR/USD</t>
  </si>
  <si>
    <t>AUD/USD</t>
  </si>
  <si>
    <t>CNY/USD</t>
  </si>
  <si>
    <t>BHD/USD</t>
  </si>
  <si>
    <t>Local Market</t>
  </si>
  <si>
    <t>EUR/TND</t>
  </si>
  <si>
    <t>GBP/TND</t>
  </si>
  <si>
    <t>CHF/TND</t>
  </si>
  <si>
    <t>CAD/TND</t>
  </si>
  <si>
    <t>SEK/TND</t>
  </si>
  <si>
    <t>DKK/TND</t>
  </si>
  <si>
    <t>NOK/TND</t>
  </si>
  <si>
    <t>JPY/TND</t>
  </si>
  <si>
    <t>MAD/TND</t>
  </si>
  <si>
    <t>DZD/TND</t>
  </si>
  <si>
    <t>AED/TND</t>
  </si>
  <si>
    <t>KWD/TND</t>
  </si>
  <si>
    <t>LYD/TND</t>
  </si>
  <si>
    <t>MRU/TND</t>
  </si>
  <si>
    <t>SAR/TND</t>
  </si>
  <si>
    <t>AUD/TND</t>
  </si>
  <si>
    <t>CNY/TND</t>
  </si>
  <si>
    <t>BHD/TND</t>
  </si>
  <si>
    <t>USD/TND</t>
  </si>
  <si>
    <t>Basket</t>
  </si>
  <si>
    <t>Référence devises</t>
  </si>
  <si>
    <t>EUR</t>
  </si>
  <si>
    <t>USD</t>
  </si>
  <si>
    <t xml:space="preserve">Spread </t>
  </si>
  <si>
    <t>Unit</t>
  </si>
  <si>
    <t>Spread Ask</t>
  </si>
  <si>
    <t>Spread Bid</t>
  </si>
  <si>
    <t>en pips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</si>
</sst>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5" formatCode="_-* #,##0\ _€_-;\-* #,##0\ _€_-;_-* &quot;-&quot;??\ _€_-;_-@_-"/>
    <numFmt numFmtId="167" formatCode="0.0000"/>
    <numFmt numFmtId="168" formatCode="_-* #,##0.0000\ _€_-;\-* #,##0.0000\ _€_-;_-* &quot;-&quot;??\ _€_-;_-@_-"/>
    <numFmt numFmtId="169" formatCode="_(* #,##0_);_(* \(#,##0\);_(* &quot;-&quot;??_);_(@_)"/>
    <numFmt numFmtId="174" formatCode="_-* #,##0\ _€_-;\-* #,##0\ _€_-;_-* &quot;-&quot;????\ _€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4"/>
      <color indexed="62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rgb="FF0070C0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name val="Arial"/>
      <family val="2"/>
    </font>
    <font>
      <sz val="10"/>
      <color theme="0" tint="-0.249977111117893"/>
      <name val="Arial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6" fillId="3" borderId="1" xfId="2" applyFont="1" applyFill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67" fontId="5" fillId="6" borderId="1" xfId="1" applyNumberFormat="1" applyFont="1" applyFill="1" applyBorder="1" applyAlignment="1">
      <alignment horizontal="center"/>
    </xf>
    <xf numFmtId="168" fontId="5" fillId="0" borderId="1" xfId="1" applyNumberFormat="1" applyFont="1" applyBorder="1"/>
    <xf numFmtId="168" fontId="5" fillId="6" borderId="1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9" fontId="8" fillId="8" borderId="1" xfId="0" applyNumberFormat="1" applyFont="1" applyFill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7" fontId="6" fillId="3" borderId="1" xfId="2" applyNumberFormat="1" applyFont="1" applyFill="1" applyBorder="1" applyAlignment="1">
      <alignment horizontal="center"/>
    </xf>
    <xf numFmtId="0" fontId="13" fillId="8" borderId="1" xfId="2" applyFont="1" applyFill="1" applyBorder="1" applyAlignment="1">
      <alignment horizontal="center"/>
    </xf>
    <xf numFmtId="0" fontId="12" fillId="0" borderId="0" xfId="0" applyFont="1"/>
    <xf numFmtId="0" fontId="13" fillId="5" borderId="1" xfId="2" applyFont="1" applyFill="1" applyBorder="1" applyAlignment="1">
      <alignment horizontal="center"/>
    </xf>
    <xf numFmtId="0" fontId="14" fillId="5" borderId="1" xfId="2" applyFont="1" applyFill="1" applyBorder="1"/>
    <xf numFmtId="0" fontId="15" fillId="8" borderId="1" xfId="2" applyFont="1" applyFill="1" applyBorder="1"/>
    <xf numFmtId="0" fontId="5" fillId="5" borderId="1" xfId="2" applyFont="1" applyFill="1" applyBorder="1" applyAlignment="1">
      <alignment horizontal="center"/>
    </xf>
    <xf numFmtId="0" fontId="5" fillId="5" borderId="1" xfId="2" applyFont="1" applyFill="1" applyBorder="1"/>
    <xf numFmtId="165" fontId="14" fillId="5" borderId="1" xfId="1" applyNumberFormat="1" applyFont="1" applyFill="1" applyBorder="1"/>
    <xf numFmtId="174" fontId="14" fillId="5" borderId="1" xfId="1" applyNumberFormat="1" applyFont="1" applyFill="1" applyBorder="1" applyAlignment="1"/>
    <xf numFmtId="169" fontId="15" fillId="8" borderId="1" xfId="1" applyNumberFormat="1" applyFont="1" applyFill="1" applyBorder="1" applyAlignment="1">
      <alignment horizontal="center"/>
    </xf>
    <xf numFmtId="165" fontId="13" fillId="7" borderId="1" xfId="2" applyNumberFormat="1" applyFont="1" applyFill="1" applyBorder="1"/>
    <xf numFmtId="0" fontId="7" fillId="0" borderId="1" xfId="0" applyFont="1" applyBorder="1"/>
    <xf numFmtId="167" fontId="12" fillId="8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6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 xr:uid="{2E69D11A-B773-4F96-9BFB-033E9B29C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749F-0FE0-4ED1-A9D7-F2B27660B112}">
  <dimension ref="B1:AC25"/>
  <sheetViews>
    <sheetView tabSelected="1" workbookViewId="0">
      <selection activeCell="M12" sqref="M12"/>
    </sheetView>
  </sheetViews>
  <sheetFormatPr baseColWidth="10" defaultRowHeight="15" x14ac:dyDescent="0.25"/>
  <cols>
    <col min="1" max="2" width="11.42578125" style="1"/>
    <col min="3" max="4" width="14.42578125" style="1" customWidth="1"/>
    <col min="5" max="11" width="11.42578125" style="1"/>
    <col min="12" max="12" width="2.42578125" style="1" customWidth="1"/>
    <col min="13" max="14" width="22.140625" style="1" customWidth="1"/>
    <col min="15" max="15" width="22.42578125" style="1" customWidth="1"/>
    <col min="16" max="18" width="11.42578125" style="1"/>
    <col min="19" max="19" width="21.7109375" style="1" customWidth="1"/>
    <col min="20" max="20" width="18" style="1" customWidth="1"/>
    <col min="21" max="16384" width="11.42578125" style="1"/>
  </cols>
  <sheetData>
    <row r="1" spans="2:29" x14ac:dyDescent="0.25">
      <c r="J1" s="11" t="s">
        <v>1</v>
      </c>
      <c r="K1" s="11"/>
    </row>
    <row r="2" spans="2:29" x14ac:dyDescent="0.25">
      <c r="J2" s="15">
        <f>+C7</f>
        <v>1.151</v>
      </c>
      <c r="K2" s="15">
        <f>+D7</f>
        <v>1.1511</v>
      </c>
      <c r="V2" s="21"/>
      <c r="W2" s="21"/>
      <c r="X2" s="21"/>
      <c r="Y2" s="22"/>
      <c r="Z2" s="23" t="s">
        <v>40</v>
      </c>
      <c r="AA2" s="23"/>
      <c r="AB2" s="24"/>
      <c r="AC2" s="24"/>
    </row>
    <row r="3" spans="2:29" ht="21.75" customHeight="1" x14ac:dyDescent="0.25">
      <c r="J3" s="16">
        <f>AVERAGE(J2:K2)</f>
        <v>1.1510500000000001</v>
      </c>
      <c r="K3" s="16"/>
      <c r="V3" s="25" t="s">
        <v>20</v>
      </c>
      <c r="W3" s="7"/>
      <c r="X3" s="8">
        <f>IF(W3="",J3*W4,W3)</f>
        <v>3.3694686650000003</v>
      </c>
      <c r="Y3" s="22"/>
      <c r="Z3" s="26" t="s">
        <v>20</v>
      </c>
      <c r="AA3" s="27">
        <v>2.1150000000000002</v>
      </c>
      <c r="AB3" s="28">
        <f>10^7*W7</f>
        <v>7000000</v>
      </c>
      <c r="AC3" s="29">
        <f>AB3*(X3-AA3)</f>
        <v>8781280.6550000012</v>
      </c>
    </row>
    <row r="4" spans="2:29" x14ac:dyDescent="0.25">
      <c r="V4" s="25" t="s">
        <v>38</v>
      </c>
      <c r="W4" s="9">
        <v>2.9272999999999998</v>
      </c>
      <c r="X4" s="8">
        <f>IF(W4="",W3/E4,W4)</f>
        <v>2.9272999999999998</v>
      </c>
      <c r="Y4" s="22"/>
      <c r="Z4" s="26" t="s">
        <v>38</v>
      </c>
      <c r="AA4" s="27">
        <v>1.9510000000000001</v>
      </c>
      <c r="AB4" s="28">
        <f>AB3/W7*W8*(AA3/AA4)</f>
        <v>3252178.370066633</v>
      </c>
      <c r="AC4" s="29">
        <f>AB4*(X4-AA4)</f>
        <v>3175101.7426960529</v>
      </c>
    </row>
    <row r="5" spans="2:29" ht="41.25" customHeight="1" x14ac:dyDescent="0.25">
      <c r="J5" s="35" t="s">
        <v>47</v>
      </c>
      <c r="M5" s="36">
        <v>100</v>
      </c>
      <c r="N5" s="36">
        <v>150</v>
      </c>
      <c r="Q5" s="6" t="s">
        <v>39</v>
      </c>
      <c r="R5" s="37">
        <v>11900</v>
      </c>
      <c r="V5" s="30"/>
      <c r="W5" s="30" t="s">
        <v>39</v>
      </c>
      <c r="X5" s="31">
        <f>+AC6</f>
        <v>11956.382397696052</v>
      </c>
      <c r="Y5" s="22"/>
      <c r="Z5" s="26" t="s">
        <v>1</v>
      </c>
      <c r="AA5" s="27">
        <f>AA3/AA4</f>
        <v>1.0840594566888775</v>
      </c>
      <c r="AB5" s="28">
        <f>AB3*AA3+AB4*AA4</f>
        <v>21150000.000000004</v>
      </c>
      <c r="AC5" s="29">
        <f>(AC3+AC4)</f>
        <v>11956382.397696054</v>
      </c>
    </row>
    <row r="6" spans="2:29" ht="18.75" x14ac:dyDescent="0.3">
      <c r="C6" s="2" t="s">
        <v>0</v>
      </c>
      <c r="D6" s="2"/>
      <c r="F6" s="10" t="s">
        <v>44</v>
      </c>
      <c r="G6" s="5"/>
      <c r="H6" s="2" t="s">
        <v>19</v>
      </c>
      <c r="I6" s="2"/>
      <c r="J6" s="10" t="s">
        <v>43</v>
      </c>
      <c r="M6" s="34" t="s">
        <v>46</v>
      </c>
      <c r="N6" s="34" t="s">
        <v>45</v>
      </c>
      <c r="Q6" s="17" t="s">
        <v>20</v>
      </c>
      <c r="R6" s="18">
        <f>10*(R5/10000+AA3)/(10*W7+10*W8*AA3/AA4/D7)</f>
        <v>3.3637722489296644</v>
      </c>
      <c r="V6" s="22"/>
      <c r="W6" s="22"/>
      <c r="X6" s="22"/>
      <c r="Y6" s="22"/>
      <c r="Z6" s="26"/>
      <c r="AA6" s="27"/>
      <c r="AB6" s="28"/>
      <c r="AC6" s="29">
        <f>AC5/10^7*10000</f>
        <v>11956.382397696052</v>
      </c>
    </row>
    <row r="7" spans="2:29" ht="18.75" x14ac:dyDescent="0.3">
      <c r="B7" s="4" t="s">
        <v>1</v>
      </c>
      <c r="C7" s="3">
        <v>1.151</v>
      </c>
      <c r="D7" s="3">
        <v>1.1511</v>
      </c>
      <c r="F7" s="34">
        <v>1</v>
      </c>
      <c r="G7" s="4" t="s">
        <v>38</v>
      </c>
      <c r="H7" s="20">
        <f>+R7-0.0029</f>
        <v>2.9195780616243825</v>
      </c>
      <c r="I7" s="20">
        <f>+R7</f>
        <v>2.9224780616243824</v>
      </c>
      <c r="J7" s="33">
        <f>+I7-H7</f>
        <v>2.8999999999999027E-3</v>
      </c>
      <c r="M7" s="12">
        <f>H7-($M$5/10000)</f>
        <v>2.9095780616243827</v>
      </c>
      <c r="N7" s="12">
        <f>+I7+($N$5/10000)</f>
        <v>2.9374780616243825</v>
      </c>
      <c r="Q7" s="19" t="s">
        <v>38</v>
      </c>
      <c r="R7" s="18">
        <f>R6/C7</f>
        <v>2.9224780616243824</v>
      </c>
      <c r="V7" s="32" t="s">
        <v>41</v>
      </c>
      <c r="W7" s="13">
        <v>0.7</v>
      </c>
      <c r="X7" s="22"/>
      <c r="Y7" s="22"/>
      <c r="Z7" s="22"/>
      <c r="AA7" s="22"/>
      <c r="AB7" s="22"/>
      <c r="AC7" s="22"/>
    </row>
    <row r="8" spans="2:29" ht="18.75" x14ac:dyDescent="0.3">
      <c r="B8" s="4" t="s">
        <v>2</v>
      </c>
      <c r="C8" s="3">
        <v>1.3436999999999999</v>
      </c>
      <c r="D8" s="3">
        <v>1.3445</v>
      </c>
      <c r="F8" s="34">
        <v>1</v>
      </c>
      <c r="G8" s="4" t="s">
        <v>20</v>
      </c>
      <c r="H8" s="20">
        <f>+I8-0.0033</f>
        <v>3.3607644967358268</v>
      </c>
      <c r="I8" s="20">
        <f>+I7*K2</f>
        <v>3.3640644967358266</v>
      </c>
      <c r="J8" s="33">
        <f>+I8-H8</f>
        <v>3.2999999999998586E-3</v>
      </c>
      <c r="M8" s="12">
        <f>H8-($M$5/10000)</f>
        <v>3.350764496735827</v>
      </c>
      <c r="N8" s="12">
        <f>+I8+($N$5/10000)</f>
        <v>3.3790644967358268</v>
      </c>
      <c r="V8" s="32" t="s">
        <v>42</v>
      </c>
      <c r="W8" s="14">
        <f>1-W7</f>
        <v>0.30000000000000004</v>
      </c>
      <c r="X8" s="22"/>
      <c r="Y8" s="22"/>
      <c r="Z8" s="22"/>
      <c r="AA8" s="22"/>
      <c r="AB8" s="22"/>
      <c r="AC8" s="22"/>
    </row>
    <row r="9" spans="2:29" ht="18.75" x14ac:dyDescent="0.3">
      <c r="B9" s="4" t="s">
        <v>3</v>
      </c>
      <c r="C9" s="3">
        <v>0.81</v>
      </c>
      <c r="D9" s="3">
        <v>0.81020000000000003</v>
      </c>
      <c r="F9" s="34">
        <v>1</v>
      </c>
      <c r="G9" s="4" t="s">
        <v>21</v>
      </c>
      <c r="H9" s="20">
        <f>C8*$H$7</f>
        <v>3.9230370414046822</v>
      </c>
      <c r="I9" s="20">
        <f>+$R$7*D8</f>
        <v>3.9292717538539823</v>
      </c>
      <c r="J9" s="33">
        <f t="shared" ref="J9:J25" si="0">+I9-H9</f>
        <v>6.2347124493000727E-3</v>
      </c>
      <c r="M9" s="12">
        <f>H9-($M$5/10000)</f>
        <v>3.9130370414046824</v>
      </c>
      <c r="N9" s="12">
        <f>+I9+($N$5/10000)</f>
        <v>3.9442717538539824</v>
      </c>
    </row>
    <row r="10" spans="2:29" ht="18.75" x14ac:dyDescent="0.3">
      <c r="B10" s="4" t="s">
        <v>4</v>
      </c>
      <c r="C10" s="3">
        <v>1.4037999999999999</v>
      </c>
      <c r="D10" s="3">
        <v>1.4041999999999999</v>
      </c>
      <c r="F10" s="34">
        <v>10</v>
      </c>
      <c r="G10" s="4" t="s">
        <v>22</v>
      </c>
      <c r="H10" s="20">
        <f>+H7/C9*F10</f>
        <v>36.044173600301015</v>
      </c>
      <c r="I10" s="20">
        <f>+$R$7/D9*F10</f>
        <v>36.071069632490527</v>
      </c>
      <c r="J10" s="33">
        <f t="shared" si="0"/>
        <v>2.6896032189512198E-2</v>
      </c>
      <c r="M10" s="12">
        <f>H10-($M$5/10000)</f>
        <v>36.034173600301017</v>
      </c>
      <c r="N10" s="12">
        <f>+I10+($N$5/10000)</f>
        <v>36.086069632490528</v>
      </c>
    </row>
    <row r="11" spans="2:29" ht="18.75" x14ac:dyDescent="0.3">
      <c r="B11" s="4" t="s">
        <v>5</v>
      </c>
      <c r="C11" s="3">
        <v>9.5577000000000005</v>
      </c>
      <c r="D11" s="3">
        <v>9.5584000000000007</v>
      </c>
      <c r="F11" s="34">
        <v>1</v>
      </c>
      <c r="G11" s="4" t="s">
        <v>23</v>
      </c>
      <c r="H11" s="20">
        <f>+H7/C10</f>
        <v>2.0797678170853273</v>
      </c>
      <c r="I11" s="20">
        <f>+$R$7/D10</f>
        <v>2.0812406079079779</v>
      </c>
      <c r="J11" s="33">
        <f t="shared" si="0"/>
        <v>1.4727908226506159E-3</v>
      </c>
      <c r="M11" s="12">
        <f>H11-($M$5/10000)</f>
        <v>2.0697678170853275</v>
      </c>
      <c r="N11" s="12">
        <f>+I11+($N$5/10000)</f>
        <v>2.0962406079079781</v>
      </c>
    </row>
    <row r="12" spans="2:29" ht="18.75" x14ac:dyDescent="0.3">
      <c r="B12" s="4" t="s">
        <v>6</v>
      </c>
      <c r="C12" s="3">
        <v>6.4936999999999996</v>
      </c>
      <c r="D12" s="3">
        <v>6.4946999999999999</v>
      </c>
      <c r="F12" s="34">
        <v>10</v>
      </c>
      <c r="G12" s="4" t="s">
        <v>24</v>
      </c>
      <c r="H12" s="20">
        <f>+H7/C11*F12</f>
        <v>3.0546868615089218</v>
      </c>
      <c r="I12" s="20">
        <f>+$R$7/D11</f>
        <v>0.30574971351108787</v>
      </c>
      <c r="J12" s="33">
        <f t="shared" si="0"/>
        <v>-2.7489371479978337</v>
      </c>
      <c r="M12" s="12">
        <f>H12-($M$5/10000)</f>
        <v>3.044686861508922</v>
      </c>
      <c r="N12" s="12">
        <f>+I12+($N$5/10000)</f>
        <v>0.32074971351108789</v>
      </c>
    </row>
    <row r="13" spans="2:29" ht="18.75" x14ac:dyDescent="0.3">
      <c r="B13" s="4" t="s">
        <v>7</v>
      </c>
      <c r="C13" s="3">
        <v>9.5101999999999993</v>
      </c>
      <c r="D13" s="3">
        <v>9.5120000000000005</v>
      </c>
      <c r="F13" s="34">
        <v>100</v>
      </c>
      <c r="G13" s="4" t="s">
        <v>25</v>
      </c>
      <c r="H13" s="20">
        <f>+H7/C12*F13</f>
        <v>44.960162336177881</v>
      </c>
      <c r="I13" s="20">
        <f>+$R$7/D12</f>
        <v>0.44997891536551071</v>
      </c>
      <c r="J13" s="33">
        <f t="shared" si="0"/>
        <v>-44.510183420812368</v>
      </c>
      <c r="M13" s="12">
        <f>H13-($M$5/10000)</f>
        <v>44.950162336177883</v>
      </c>
      <c r="N13" s="12">
        <f>+I13+($N$5/10000)</f>
        <v>0.46497891536551073</v>
      </c>
    </row>
    <row r="14" spans="2:29" ht="18.75" x14ac:dyDescent="0.3">
      <c r="B14" s="4" t="s">
        <v>8</v>
      </c>
      <c r="C14" s="3">
        <v>157.84</v>
      </c>
      <c r="D14" s="3">
        <v>157.86000000000001</v>
      </c>
      <c r="F14" s="34">
        <v>100</v>
      </c>
      <c r="G14" s="4" t="s">
        <v>26</v>
      </c>
      <c r="H14" s="20">
        <f>+$H$7/C13*F14</f>
        <v>30.699439145595075</v>
      </c>
      <c r="I14" s="20">
        <f>+$R$7/D13</f>
        <v>0.30724117552821512</v>
      </c>
      <c r="J14" s="33">
        <f t="shared" si="0"/>
        <v>-30.39219797006686</v>
      </c>
      <c r="M14" s="12">
        <f>H14-($M$5/10000)</f>
        <v>30.689439145595074</v>
      </c>
      <c r="N14" s="12">
        <f>+I14+($N$5/10000)</f>
        <v>0.32224117552821513</v>
      </c>
    </row>
    <row r="15" spans="2:29" ht="18.75" x14ac:dyDescent="0.3">
      <c r="B15" s="4" t="s">
        <v>9</v>
      </c>
      <c r="C15" s="3">
        <v>9.3186999999999998</v>
      </c>
      <c r="D15" s="3">
        <v>9.3267000000000007</v>
      </c>
      <c r="F15" s="34">
        <v>1000</v>
      </c>
      <c r="G15" s="4" t="s">
        <v>27</v>
      </c>
      <c r="H15" s="20">
        <f t="shared" ref="H15:H25" si="1">+$H$7/C14*F15</f>
        <v>18.497073375724671</v>
      </c>
      <c r="I15" s="20">
        <f>+$R$7/D14</f>
        <v>1.8513100605754354E-2</v>
      </c>
      <c r="J15" s="33">
        <f t="shared" si="0"/>
        <v>-18.478560275118916</v>
      </c>
      <c r="M15" s="12">
        <f>H15-($M$5/10000)</f>
        <v>18.48707337572467</v>
      </c>
      <c r="N15" s="12">
        <f>+I15+($N$5/10000)</f>
        <v>3.3513100605754353E-2</v>
      </c>
    </row>
    <row r="16" spans="2:29" ht="18.75" x14ac:dyDescent="0.3">
      <c r="B16" s="4" t="s">
        <v>10</v>
      </c>
      <c r="C16" s="3">
        <v>132.34100000000001</v>
      </c>
      <c r="D16" s="3">
        <v>133.66399999999999</v>
      </c>
      <c r="F16" s="34">
        <v>10</v>
      </c>
      <c r="G16" s="4" t="s">
        <v>28</v>
      </c>
      <c r="H16" s="20">
        <f t="shared" si="1"/>
        <v>3.1330314975526443</v>
      </c>
      <c r="I16" s="20">
        <f>+$R$7/D15*F16</f>
        <v>3.1334534847527875</v>
      </c>
      <c r="J16" s="33">
        <f t="shared" si="0"/>
        <v>4.2198720014319235E-4</v>
      </c>
      <c r="M16" s="12">
        <f>H16-($M$5/10000)</f>
        <v>3.1230314975526445</v>
      </c>
      <c r="N16" s="12">
        <f>+I16+($N$5/10000)</f>
        <v>3.1484534847527876</v>
      </c>
    </row>
    <row r="17" spans="2:14" ht="18.75" x14ac:dyDescent="0.3">
      <c r="B17" s="4" t="s">
        <v>11</v>
      </c>
      <c r="C17" s="3">
        <v>3.6726000000000001</v>
      </c>
      <c r="D17" s="3">
        <v>3.6728000000000001</v>
      </c>
      <c r="F17" s="34">
        <v>10</v>
      </c>
      <c r="G17" s="4" t="s">
        <v>29</v>
      </c>
      <c r="H17" s="20">
        <f t="shared" si="1"/>
        <v>0.22061024638051566</v>
      </c>
      <c r="I17" s="20">
        <f>+$R$7/D16*F17</f>
        <v>0.21864361844807748</v>
      </c>
      <c r="J17" s="33">
        <f t="shared" si="0"/>
        <v>-1.9666279324381808E-3</v>
      </c>
      <c r="M17" s="12">
        <f>H17-($M$5/10000)</f>
        <v>0.21061024638051565</v>
      </c>
      <c r="N17" s="12">
        <f>+I17+($N$5/10000)</f>
        <v>0.23364361844807746</v>
      </c>
    </row>
    <row r="18" spans="2:14" ht="18.75" x14ac:dyDescent="0.3">
      <c r="B18" s="4" t="s">
        <v>12</v>
      </c>
      <c r="C18" s="3">
        <v>0.30714999999999998</v>
      </c>
      <c r="D18" s="3">
        <v>0.30725000000000002</v>
      </c>
      <c r="F18" s="34">
        <v>10</v>
      </c>
      <c r="G18" s="4" t="s">
        <v>30</v>
      </c>
      <c r="H18" s="20">
        <f t="shared" si="1"/>
        <v>7.94962168933285</v>
      </c>
      <c r="I18" s="20">
        <f>+$R$7/D17*F18</f>
        <v>7.9570846809637938</v>
      </c>
      <c r="J18" s="33">
        <f t="shared" si="0"/>
        <v>7.4629916309438826E-3</v>
      </c>
      <c r="M18" s="12">
        <f>H18-($M$5/10000)</f>
        <v>7.9396216893328502</v>
      </c>
      <c r="N18" s="12">
        <f>+I18+($N$5/10000)</f>
        <v>7.9720846809637935</v>
      </c>
    </row>
    <row r="19" spans="2:14" ht="18.75" x14ac:dyDescent="0.3">
      <c r="B19" s="4" t="s">
        <v>13</v>
      </c>
      <c r="C19" s="3">
        <v>6.3543000000000003</v>
      </c>
      <c r="D19" s="3">
        <v>6.3860999999999999</v>
      </c>
      <c r="F19" s="34">
        <v>1</v>
      </c>
      <c r="G19" s="4" t="s">
        <v>31</v>
      </c>
      <c r="H19" s="20">
        <f t="shared" si="1"/>
        <v>9.5053819359413403</v>
      </c>
      <c r="I19" s="20">
        <f>+$R$7/D18</f>
        <v>9.5117268075651165</v>
      </c>
      <c r="J19" s="33">
        <f t="shared" si="0"/>
        <v>6.3448716237761715E-3</v>
      </c>
      <c r="M19" s="12">
        <f>H19-($M$5/10000)</f>
        <v>9.4953819359413405</v>
      </c>
      <c r="N19" s="12">
        <f>+I19+($N$5/10000)</f>
        <v>9.526726807565117</v>
      </c>
    </row>
    <row r="20" spans="2:14" ht="18.75" x14ac:dyDescent="0.3">
      <c r="B20" s="4" t="s">
        <v>14</v>
      </c>
      <c r="C20" s="3">
        <v>39.8523</v>
      </c>
      <c r="D20" s="3">
        <v>39.971899999999998</v>
      </c>
      <c r="F20" s="34">
        <v>1</v>
      </c>
      <c r="G20" s="4" t="s">
        <v>32</v>
      </c>
      <c r="H20" s="20">
        <f t="shared" si="1"/>
        <v>0.45946493895856072</v>
      </c>
      <c r="I20" s="20">
        <f>+$R$7/D19</f>
        <v>0.45763111470606199</v>
      </c>
      <c r="J20" s="33">
        <f t="shared" si="0"/>
        <v>-1.833824252498728E-3</v>
      </c>
      <c r="M20" s="12">
        <f>H20-($M$5/10000)</f>
        <v>0.44946493895856071</v>
      </c>
      <c r="N20" s="12">
        <f>+I20+($N$5/10000)</f>
        <v>0.47263111470606201</v>
      </c>
    </row>
    <row r="21" spans="2:14" ht="18.75" x14ac:dyDescent="0.3">
      <c r="B21" s="4" t="s">
        <v>15</v>
      </c>
      <c r="C21" s="3">
        <v>3.7555999999999998</v>
      </c>
      <c r="D21" s="3">
        <v>3.7557999999999998</v>
      </c>
      <c r="F21" s="34">
        <v>1</v>
      </c>
      <c r="G21" s="4" t="s">
        <v>33</v>
      </c>
      <c r="H21" s="20">
        <f t="shared" si="1"/>
        <v>7.3259963957522711E-2</v>
      </c>
      <c r="I21" s="20">
        <f>+$R$7/D20</f>
        <v>7.3113313643444089E-2</v>
      </c>
      <c r="J21" s="33">
        <f t="shared" si="0"/>
        <v>-1.4665031407862239E-4</v>
      </c>
      <c r="M21" s="12">
        <f>H21-($M$5/10000)</f>
        <v>6.3259963957522716E-2</v>
      </c>
      <c r="N21" s="12">
        <f>+I21+($N$5/10000)</f>
        <v>8.8113313643444088E-2</v>
      </c>
    </row>
    <row r="22" spans="2:14" ht="18.75" x14ac:dyDescent="0.3">
      <c r="B22" s="4" t="s">
        <v>16</v>
      </c>
      <c r="C22" s="3">
        <v>0.70269999999999999</v>
      </c>
      <c r="D22" s="3">
        <v>0.70309999999999995</v>
      </c>
      <c r="F22" s="34">
        <v>10</v>
      </c>
      <c r="G22" s="4" t="s">
        <v>34</v>
      </c>
      <c r="H22" s="20">
        <f t="shared" si="1"/>
        <v>7.7739324252433235</v>
      </c>
      <c r="I22" s="20">
        <f>+$R$7/C21*F22</f>
        <v>7.781654227352174</v>
      </c>
      <c r="J22" s="33">
        <f t="shared" si="0"/>
        <v>7.7218021088505395E-3</v>
      </c>
      <c r="M22" s="12">
        <f>H22-($M$5/10000)</f>
        <v>7.7639324252433237</v>
      </c>
      <c r="N22" s="12">
        <f>+I22+($N$5/10000)</f>
        <v>7.7966542273521737</v>
      </c>
    </row>
    <row r="23" spans="2:14" ht="18.75" x14ac:dyDescent="0.3">
      <c r="B23" s="4" t="s">
        <v>17</v>
      </c>
      <c r="C23" s="3">
        <v>6.7531999999999996</v>
      </c>
      <c r="D23" s="3">
        <v>6.7538999999999998</v>
      </c>
      <c r="F23" s="34">
        <v>1</v>
      </c>
      <c r="G23" s="4" t="s">
        <v>35</v>
      </c>
      <c r="H23" s="20">
        <f>+$H$7*C22*F23</f>
        <v>2.0515875039034537</v>
      </c>
      <c r="I23" s="20">
        <f>+$R$7*D22</f>
        <v>2.0547943251281029</v>
      </c>
      <c r="J23" s="33">
        <f t="shared" si="0"/>
        <v>3.2068212246492145E-3</v>
      </c>
      <c r="M23" s="12">
        <f>H23-($M$5/10000)</f>
        <v>2.0415875039034539</v>
      </c>
      <c r="N23" s="12">
        <f>+I23+($N$5/10000)</f>
        <v>2.069794325128103</v>
      </c>
    </row>
    <row r="24" spans="2:14" ht="18.75" x14ac:dyDescent="0.3">
      <c r="B24" s="4" t="s">
        <v>18</v>
      </c>
      <c r="C24" s="3">
        <v>0.377</v>
      </c>
      <c r="D24" s="3">
        <v>0.37709999999999999</v>
      </c>
      <c r="F24" s="34">
        <v>1</v>
      </c>
      <c r="G24" s="4" t="s">
        <v>36</v>
      </c>
      <c r="H24" s="20">
        <f t="shared" si="1"/>
        <v>0.43232512906835019</v>
      </c>
      <c r="I24" s="20">
        <f>+$R$7/D23</f>
        <v>0.43270970278274518</v>
      </c>
      <c r="J24" s="33">
        <f t="shared" si="0"/>
        <v>3.8457371439498678E-4</v>
      </c>
      <c r="M24" s="12">
        <f>H24-($M$5/10000)</f>
        <v>0.42232512906835018</v>
      </c>
      <c r="N24" s="12">
        <f>+I24+($N$5/10000)</f>
        <v>0.44770970278274519</v>
      </c>
    </row>
    <row r="25" spans="2:14" ht="18.75" x14ac:dyDescent="0.3">
      <c r="F25" s="34">
        <v>1</v>
      </c>
      <c r="G25" s="4" t="s">
        <v>37</v>
      </c>
      <c r="H25" s="20">
        <f t="shared" si="1"/>
        <v>7.7442388902503518</v>
      </c>
      <c r="I25" s="20">
        <f>+$R$7/D24</f>
        <v>7.7498755280413221</v>
      </c>
      <c r="J25" s="33">
        <f t="shared" si="0"/>
        <v>5.6366377909702337E-3</v>
      </c>
      <c r="M25" s="12">
        <f>H25-($M$5/10000)</f>
        <v>7.734238890250352</v>
      </c>
      <c r="N25" s="12">
        <f>+I25+($N$5/10000)</f>
        <v>7.7648755280413218</v>
      </c>
    </row>
  </sheetData>
  <mergeCells count="3">
    <mergeCell ref="Z2:AA2"/>
    <mergeCell ref="J3:K3"/>
    <mergeCell ref="J1:K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8067F53340240879DF15F26D7FB08" ma:contentTypeVersion="20" ma:contentTypeDescription="Crée un document." ma:contentTypeScope="" ma:versionID="b1a3448f8703ef39078c054a6b3dd927">
  <xsd:schema xmlns:xsd="http://www.w3.org/2001/XMLSchema" xmlns:xs="http://www.w3.org/2001/XMLSchema" xmlns:p="http://schemas.microsoft.com/office/2006/metadata/properties" xmlns:ns1="http://schemas.microsoft.com/sharepoint/v3" xmlns:ns2="10deafd8-00d6-470b-b49f-142c95e5f6f4" xmlns:ns3="b970b8f3-5410-44d3-a0b2-f8ddc5872f1d" targetNamespace="http://schemas.microsoft.com/office/2006/metadata/properties" ma:root="true" ma:fieldsID="f1bd2f1a5273065dd0bbd18ea591a1d0" ns1:_="" ns2:_="" ns3:_="">
    <xsd:import namespace="http://schemas.microsoft.com/sharepoint/v3"/>
    <xsd:import namespace="10deafd8-00d6-470b-b49f-142c95e5f6f4"/>
    <xsd:import namespace="b970b8f3-5410-44d3-a0b2-f8ddc5872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eafd8-00d6-470b-b49f-142c95e5f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bb6f8780-6707-4deb-b93b-658356d238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0b8f3-5410-44d3-a0b2-f8ddc5872f1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800bbc-0c2c-4f6b-8c46-4271a646c8b9}" ma:internalName="TaxCatchAll" ma:showField="CatchAllData" ma:web="b970b8f3-5410-44d3-a0b2-f8ddc5872f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70b8f3-5410-44d3-a0b2-f8ddc5872f1d"/>
    <_ip_UnifiedCompliancePolicyUIAction xmlns="http://schemas.microsoft.com/sharepoint/v3" xsi:nil="true"/>
    <_ip_UnifiedCompliancePolicyProperties xmlns="http://schemas.microsoft.com/sharepoint/v3" xsi:nil="true"/>
    <lcf76f155ced4ddcb4097134ff3c332f xmlns="10deafd8-00d6-470b-b49f-142c95e5f6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1782E-1407-4301-B72C-0902504F7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deafd8-00d6-470b-b49f-142c95e5f6f4"/>
    <ds:schemaRef ds:uri="b970b8f3-5410-44d3-a0b2-f8ddc5872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EBE0FE-C51E-4A1B-970C-089AAF7475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1A7FA-ABC9-4A11-A7E9-49DBA799759C}">
  <ds:schemaRefs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b970b8f3-5410-44d3-a0b2-f8ddc5872f1d"/>
    <ds:schemaRef ds:uri="http://schemas.microsoft.com/office/2006/documentManagement/types"/>
    <ds:schemaRef ds:uri="10deafd8-00d6-470b-b49f-142c95e5f6f4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Contrib</vt:lpstr>
    </vt:vector>
  </TitlesOfParts>
  <Company>UBCI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Benmoussa</dc:creator>
  <cp:lastModifiedBy>Hamza Benmoussa</cp:lastModifiedBy>
  <dcterms:created xsi:type="dcterms:W3CDTF">2026-08-04T08:20:56Z</dcterms:created>
  <dcterms:modified xsi:type="dcterms:W3CDTF">2026-08-04T10:38:23Z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0x010100BBF8067F53340240879DF15F26D7FB08</vt:lpwstr>
  </property>
</Properties>
</file>